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am factor" state="visible" r:id="rId4"/>
    <sheet sheetId="2" name="How it works" state="visible" r:id="rId5"/>
  </sheets>
  <calcPr calcId="171027"/>
</workbook>
</file>

<file path=xl/sharedStrings.xml><?xml version="1.0" encoding="utf-8"?>
<sst xmlns="http://schemas.openxmlformats.org/spreadsheetml/2006/main" count="90" uniqueCount="60">
  <si>
    <t>Peer evaluation — how your team factor is worked out</t>
  </si>
  <si>
    <t>Every figure below the ballots is a live formula. Change a ballot, a setting, or the team size and the rest follows — so you can check your own result, or try a what-if.</t>
  </si>
  <si>
    <t>Settings your instructor chooses</t>
  </si>
  <si>
    <t>Team size (n)</t>
  </si>
  <si>
    <t>How many people are on the team.</t>
  </si>
  <si>
    <t>Even split (ν)</t>
  </si>
  <si>
    <t>Points one teammate gives you when they split 100 evenly: 100 ÷ (n − 1).</t>
  </si>
  <si>
    <t>Dead band (δ)</t>
  </si>
  <si>
    <t>How far from an even split counts as noise. Inside this, your factor is exactly 1.00.</t>
  </si>
  <si>
    <t>Damping (k)</t>
  </si>
  <si>
    <t>How much of the deviation beyond the dead band actually carries through.</t>
  </si>
  <si>
    <t>Lowest possible factor</t>
  </si>
  <si>
    <t>The floor. Nobody can fall below this however harshly they are rated.</t>
  </si>
  <si>
    <t>Highest possible factor</t>
  </si>
  <si>
    <t>The ceiling. Deliberately closer to 1.00 than the floor is — see the second sheet.</t>
  </si>
  <si>
    <t>Step 1 — what everyone allocated</t>
  </si>
  <si>
    <t>Each row is one person's ballot: 100 points split across their four teammates, never themselves. Leave a whole row blank to see what happens when somebody does not submit.</t>
  </si>
  <si>
    <t>Rater ↓  /  Ratee →</t>
  </si>
  <si>
    <t>Ana</t>
  </si>
  <si>
    <t>Ben</t>
  </si>
  <si>
    <t>Cara</t>
  </si>
  <si>
    <t>Dev</t>
  </si>
  <si>
    <t>Eli</t>
  </si>
  <si>
    <t>Total</t>
  </si>
  <si>
    <t>Status</t>
  </si>
  <si>
    <t>—</t>
  </si>
  <si>
    <t>Step 2 — turn points into shares</t>
  </si>
  <si>
    <t>A share is the points you received divided by the even split (ν). 1.00 means exactly an even split, so the scale reads the same whatever the team size. A teammate who did not submit leaves no share here — Step 3 counts them as having split evenly, which is why skipping the form neither helps nor hurts anyone.</t>
  </si>
  <si>
    <t>Step 3 — drop the extremes, average, then map to a factor</t>
  </si>
  <si>
    <t>The highest and the lowest share you received are both thrown away, so neither a harsh teammate nor a generous one decides your result on their own. That needs at least three real ratings; below that there is nothing safe to drop. What is left is averaged into r, and r becomes your factor: f = clip(1 + k × sign(d) × max(0, |d| − δ), floor, ceiling), where d = r − 1.</t>
  </si>
  <si>
    <t>Student</t>
  </si>
  <si>
    <t>Ratings received</t>
  </si>
  <si>
    <t>Assumed even</t>
  </si>
  <si>
    <t>Highest (dropped)</t>
  </si>
  <si>
    <t>Lowest (dropped)</t>
  </si>
  <si>
    <t>Average share r</t>
  </si>
  <si>
    <t>d = r − 1</t>
  </si>
  <si>
    <t>Factor</t>
  </si>
  <si>
    <t>Note</t>
  </si>
  <si>
    <t>Team mean</t>
  </si>
  <si>
    <t>Exactly 1.000 when a team has no real differences; below it only when somebody genuinely under-contributed.</t>
  </si>
  <si>
    <t>Spread (highest − lowest)</t>
  </si>
  <si>
    <t>Yellow cells are inputs you can change. Grey cells are calculated.</t>
  </si>
  <si>
    <t>The rules behind the numbers</t>
  </si>
  <si>
    <t>An even split is the default</t>
  </si>
  <si>
    <t>It is also the neutral answer and a perfectly legitimate one. If everyone pulled their weight, say so — that is the answer the form pre-fills, and you are done.</t>
  </si>
  <si>
    <t>Small differences are ignored</t>
  </si>
  <si>
    <t>Anything within the dead band (δ) of an even split gives a factor of exactly 1.00. On a five-person team that is 23–27 points out of 25. This is why the unavoidable rounding when 100 will not divide evenly — 34/33/33 across three teammates — never changes anyone's grade, and why you are only asked to justify an allocation that could actually move someone's result.</t>
  </si>
  <si>
    <t>The extremes are thrown away</t>
  </si>
  <si>
    <t>The highest and the lowest rating you receive are both dropped before averaging. One teammate cannot sink you, and one teammate cannot carry you. It takes at least three real ratings to do this; on a very small team there is nothing safe to drop.</t>
  </si>
  <si>
    <t>A missing ballot is assumed even</t>
  </si>
  <si>
    <t>If a teammate never submits, they are counted as having split their 100 points evenly. Nobody gains from another person's silence and nobody is penalised for it.</t>
  </si>
  <si>
    <t>Gains are small, losses are not</t>
  </si>
  <si>
    <t>The ceiling sits much closer to 1.00 than the floor does, and only half of any deviation beyond the dead band carries through. This is deliberate. It means a group cannot make itself better off by agreeing to mark one person down: the target loses far more than the others could ever gain, so the arithmetic makes that cost the team rather than pay it.</t>
  </si>
  <si>
    <t>The team average is not forced to 1.00</t>
  </si>
  <si>
    <t>Because of the dead band and the caps, the factors are not a fixed pot being shared out. A team where everyone contributed evenly averages exactly 1.00. A team carrying somebody who did not averages less, which is the honest reading — nothing is rescaled behind the scenes to hide it.</t>
  </si>
  <si>
    <t>A low factor is a conversation</t>
  </si>
  <si>
    <t>A factor below 0.90 is a flag for your instructor to follow up, not a grade. Nothing is decided by this arithmetic on its own.</t>
  </si>
  <si>
    <t>Your answers stay private</t>
  </si>
  <si>
    <t>Your teammates never see what you wrote. Only your instructor can read the ballots, and the summary returned to you is yours alone.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</si>
</sst>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4" x14ac:knownFonts="1">
    <font>
      <color theme="1"/>
      <family val="2"/>
      <scheme val="minor"/>
      <sz val="11"/>
      <name val="Calibri"/>
    </font>
    <font>
      <b/>
      <color rgb="FF1E293B"/>
      <sz val="16"/>
    </font>
    <font>
      <color rgb="FF64748B"/>
      <sz val="10"/>
    </font>
    <font>
      <b/>
      <color rgb="FF0F766E"/>
      <sz val="12"/>
    </font>
    <font>
      <sz val="10"/>
    </font>
    <font>
      <b/>
      <sz val="10"/>
    </font>
    <font>
      <color rgb="FF64748B"/>
      <sz val="9"/>
    </font>
    <font>
      <b/>
      <color rgb="FF1E293B"/>
      <sz val="9"/>
    </font>
    <font>
      <color rgb="FFA0AEC0"/>
    </font>
    <font>
      <b/>
    </font>
    <font>
      <b/>
      <sz val="11"/>
    </font>
    <font>
      <i/>
      <color rgb="FF64748B"/>
      <sz val="9"/>
    </font>
    <font>
      <b/>
      <color rgb="FF0F766E"/>
      <sz val="11"/>
    </font>
    <font>
      <color rgb="FF1E293B"/>
      <sz val="10"/>
    </font>
  </fonts>
  <fills count="6">
    <fill>
      <patternFill patternType="none"/>
    </fill>
    <fill>
      <patternFill patternType="gray125"/>
    </fill>
    <fill>
      <patternFill patternType="solid">
        <fgColor rgb="FFFFFBEB"/>
      </patternFill>
    </fill>
    <fill>
      <patternFill patternType="solid">
        <fgColor rgb="FFF8FAFC"/>
      </patternFill>
    </fill>
    <fill>
      <patternFill patternType="solid">
        <fgColor rgb="FFE2E8F0"/>
      </patternFill>
    </fill>
    <fill>
      <patternFill patternType="solid">
        <fgColor rgb="FFECFDF5"/>
      </patternFill>
    </fill>
  </fills>
  <borders count="2">
    <border>
      <left/>
      <right/>
      <top/>
      <bottom/>
      <diagonal/>
    </border>
    <border>
      <left/>
      <right/>
      <top/>
      <bottom style="thin">
        <color rgb="FF94A3B8"/>
      </bottom>
      <diagonal/>
    </border>
  </borders>
  <cellStyleXfs count="1">
    <xf numFmtId="0" fontId="0" fillId="0" borderId="0"/>
  </cellStyleXfs>
  <cellXfs count="26">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0" borderId="0" xfId="0" applyFont="1"/>
    <xf numFmtId="1" fontId="5" fillId="2" borderId="0" xfId="0" applyNumberFormat="1" applyFont="1" applyFill="1" applyAlignment="1">
      <alignment horizontal="center"/>
    </xf>
    <xf numFmtId="0" fontId="6" fillId="0" borderId="0" xfId="0" applyFont="1" applyAlignment="1">
      <alignment vertical="center" wrapText="1"/>
    </xf>
    <xf numFmtId="2" fontId="5" fillId="3" borderId="0" xfId="0" applyNumberFormat="1" applyFont="1" applyFill="1" applyAlignment="1">
      <alignment horizontal="center"/>
    </xf>
    <xf numFmtId="2" fontId="5" fillId="2" borderId="0" xfId="0" applyNumberFormat="1" applyFont="1" applyFill="1" applyAlignment="1">
      <alignment horizontal="center"/>
    </xf>
    <xf numFmtId="0" fontId="6" fillId="0" borderId="0" xfId="0" applyFont="1" applyAlignment="1">
      <alignment vertical="top" wrapText="1"/>
    </xf>
    <xf numFmtId="0" fontId="7" fillId="0" borderId="1" xfId="0" applyFont="1" applyBorder="1" applyAlignment="1">
      <alignment horizontal="left" vertical="bottom" wrapText="1"/>
    </xf>
    <xf numFmtId="0" fontId="7" fillId="0" borderId="1" xfId="0" applyFont="1" applyBorder="1" applyAlignment="1">
      <alignment horizontal="center" vertical="bottom" wrapText="1"/>
    </xf>
    <xf numFmtId="0" fontId="5" fillId="0" borderId="0" xfId="0" applyFont="1"/>
    <xf numFmtId="1" fontId="8" fillId="4" borderId="0" xfId="0" applyNumberFormat="1" applyFont="1" applyFill="1" applyAlignment="1">
      <alignment horizontal="center"/>
    </xf>
    <xf numFmtId="1" fontId="0" fillId="2" borderId="0" xfId="0" applyNumberFormat="1" applyFill="1" applyAlignment="1">
      <alignment horizontal="center"/>
    </xf>
    <xf numFmtId="1" fontId="9" fillId="3" borderId="0" xfId="0" applyNumberFormat="1" applyFont="1" applyFill="1" applyAlignment="1">
      <alignment horizontal="center"/>
    </xf>
    <xf numFmtId="0" fontId="6" fillId="0" borderId="0" xfId="0" applyFont="1"/>
    <xf numFmtId="2" fontId="8" fillId="4" borderId="0" xfId="0" applyNumberFormat="1" applyFont="1" applyFill="1" applyAlignment="1">
      <alignment horizontal="center"/>
    </xf>
    <xf numFmtId="2" fontId="0" fillId="3" borderId="0" xfId="0" applyNumberFormat="1" applyFill="1" applyAlignment="1">
      <alignment horizontal="center"/>
    </xf>
    <xf numFmtId="1" fontId="0" fillId="3" borderId="0" xfId="0" applyNumberFormat="1" applyFill="1" applyAlignment="1">
      <alignment horizontal="center"/>
    </xf>
    <xf numFmtId="164" fontId="0" fillId="3" borderId="0" xfId="0" applyNumberFormat="1" applyFill="1" applyAlignment="1">
      <alignment horizontal="center"/>
    </xf>
    <xf numFmtId="2" fontId="10" fillId="5" borderId="0" xfId="0" applyNumberFormat="1" applyFont="1" applyFill="1" applyAlignment="1">
      <alignment horizontal="center"/>
    </xf>
    <xf numFmtId="165" fontId="9" fillId="3" borderId="0" xfId="0" applyNumberFormat="1" applyFont="1" applyFill="1" applyAlignment="1">
      <alignment horizontal="center"/>
    </xf>
    <xf numFmtId="0" fontId="11" fillId="0" borderId="0" xfId="0" applyFont="1"/>
    <xf numFmtId="0" fontId="12" fillId="0" borderId="0" xfId="0" applyFont="1" applyAlignment="1">
      <alignment vertical="top" wrapText="1"/>
    </xf>
    <xf numFmtId="0" fontId="1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owGridLines="0"/>
  </sheetViews>
  <sheetFormatPr defaultRowHeight="16" outlineLevelRow="0" outlineLevelCol="0" x14ac:dyDescent="55" customHeight="1"/>
  <cols>
    <col min="1" max="1" width="26" customWidth="1"/>
    <col min="2" max="6" width="12" customWidth="1"/>
    <col min="7" max="7" width="13" customWidth="1"/>
    <col min="8" max="8" width="42" customWidth="1"/>
    <col min="9" max="9" width="46" customWidth="1"/>
  </cols>
  <sheetData>
    <row r="1" spans="1:9" x14ac:dyDescent="0.25">
      <c r="A1" s="1" t="s">
        <v>0</v>
      </c>
      <c r="B1" s="1"/>
      <c r="C1" s="1"/>
      <c r="D1" s="1"/>
      <c r="E1" s="1"/>
      <c r="F1" s="1"/>
      <c r="G1" s="1"/>
      <c r="H1" s="1"/>
      <c r="I1" s="1"/>
    </row>
    <row r="2" ht="30" customHeight="1" spans="1:9" x14ac:dyDescent="0.25">
      <c r="A2" s="2" t="s">
        <v>1</v>
      </c>
      <c r="B2" s="2"/>
      <c r="C2" s="2"/>
      <c r="D2" s="2"/>
      <c r="E2" s="2"/>
      <c r="F2" s="2"/>
      <c r="G2" s="2"/>
      <c r="H2" s="2"/>
      <c r="I2" s="2"/>
    </row>
    <row r="4" spans="1:1" x14ac:dyDescent="0.25">
      <c r="A4" s="3" t="s">
        <v>2</v>
      </c>
    </row>
    <row r="5" spans="1:9" x14ac:dyDescent="0.25">
      <c r="A5" s="4" t="s">
        <v>3</v>
      </c>
      <c r="B5" s="5">
        <v>5</v>
      </c>
      <c r="C5" s="6" t="s">
        <v>4</v>
      </c>
      <c r="D5" s="6"/>
      <c r="E5" s="6"/>
      <c r="F5" s="6"/>
      <c r="G5" s="6"/>
      <c r="H5" s="6"/>
      <c r="I5" s="6"/>
    </row>
    <row r="6" spans="1:9" x14ac:dyDescent="0.25">
      <c r="A6" s="4" t="s">
        <v>5</v>
      </c>
      <c r="B6" s="7">
        <f>100/(B5-1)</f>
      </c>
      <c r="C6" s="6" t="s">
        <v>6</v>
      </c>
      <c r="D6" s="6"/>
      <c r="E6" s="6"/>
      <c r="F6" s="6"/>
      <c r="G6" s="6"/>
      <c r="H6" s="6"/>
      <c r="I6" s="6"/>
    </row>
    <row r="7" spans="1:9" x14ac:dyDescent="0.25">
      <c r="A7" s="4" t="s">
        <v>7</v>
      </c>
      <c r="B7" s="8">
        <v>0.08</v>
      </c>
      <c r="C7" s="6" t="s">
        <v>8</v>
      </c>
      <c r="D7" s="6"/>
      <c r="E7" s="6"/>
      <c r="F7" s="6"/>
      <c r="G7" s="6"/>
      <c r="H7" s="6"/>
      <c r="I7" s="6"/>
    </row>
    <row r="8" spans="1:9" x14ac:dyDescent="0.25">
      <c r="A8" s="4" t="s">
        <v>9</v>
      </c>
      <c r="B8" s="8">
        <v>0.5</v>
      </c>
      <c r="C8" s="6" t="s">
        <v>10</v>
      </c>
      <c r="D8" s="6"/>
      <c r="E8" s="6"/>
      <c r="F8" s="6"/>
      <c r="G8" s="6"/>
      <c r="H8" s="6"/>
      <c r="I8" s="6"/>
    </row>
    <row r="9" spans="1:9" x14ac:dyDescent="0.25">
      <c r="A9" s="4" t="s">
        <v>11</v>
      </c>
      <c r="B9" s="8">
        <v>0.7</v>
      </c>
      <c r="C9" s="6" t="s">
        <v>12</v>
      </c>
      <c r="D9" s="6"/>
      <c r="E9" s="6"/>
      <c r="F9" s="6"/>
      <c r="G9" s="6"/>
      <c r="H9" s="6"/>
      <c r="I9" s="6"/>
    </row>
    <row r="10" spans="1:9" x14ac:dyDescent="0.25">
      <c r="A10" s="4" t="s">
        <v>13</v>
      </c>
      <c r="B10" s="8">
        <v>1.05</v>
      </c>
      <c r="C10" s="6" t="s">
        <v>14</v>
      </c>
      <c r="D10" s="6"/>
      <c r="E10" s="6"/>
      <c r="F10" s="6"/>
      <c r="G10" s="6"/>
      <c r="H10" s="6"/>
      <c r="I10" s="6"/>
    </row>
    <row r="12" spans="1:1" x14ac:dyDescent="0.25">
      <c r="A12" s="3" t="s">
        <v>15</v>
      </c>
    </row>
    <row r="13" ht="26" customHeight="1" spans="1:9" x14ac:dyDescent="0.25">
      <c r="A13" s="9" t="s">
        <v>16</v>
      </c>
      <c r="B13" s="9"/>
      <c r="C13" s="9"/>
      <c r="D13" s="9"/>
      <c r="E13" s="9"/>
      <c r="F13" s="9"/>
      <c r="G13" s="9"/>
      <c r="H13" s="9"/>
      <c r="I13" s="9"/>
    </row>
    <row r="15" ht="28" customHeight="1" spans="1:8" x14ac:dyDescent="0.25">
      <c r="A15" s="10" t="s">
        <v>17</v>
      </c>
      <c r="B15" s="11" t="s">
        <v>18</v>
      </c>
      <c r="C15" s="11" t="s">
        <v>19</v>
      </c>
      <c r="D15" s="11" t="s">
        <v>20</v>
      </c>
      <c r="E15" s="11" t="s">
        <v>21</v>
      </c>
      <c r="F15" s="11" t="s">
        <v>22</v>
      </c>
      <c r="G15" s="11" t="s">
        <v>23</v>
      </c>
      <c r="H15" s="11" t="s">
        <v>24</v>
      </c>
    </row>
    <row r="16" spans="1:8" x14ac:dyDescent="0.25">
      <c r="A16" s="12" t="s">
        <v>18</v>
      </c>
      <c r="B16" s="13" t="s">
        <v>25</v>
      </c>
      <c r="C16" s="14">
        <v>28</v>
      </c>
      <c r="D16" s="14">
        <v>30</v>
      </c>
      <c r="E16" s="14">
        <v>27</v>
      </c>
      <c r="F16" s="14">
        <v>15</v>
      </c>
      <c r="G16" s="15">
        <f>IF(COUNT(B16:F16)=0,"",SUM(B16:F16))</f>
      </c>
      <c r="H16" s="16">
        <f>IF(COUNT(B16:F16)=0,"did not submit — counted as an even split",IF(G16=100,"ok","must total 100"))</f>
      </c>
    </row>
    <row r="17" spans="1:8" x14ac:dyDescent="0.25">
      <c r="A17" s="12" t="s">
        <v>19</v>
      </c>
      <c r="B17" s="14">
        <v>30</v>
      </c>
      <c r="C17" s="13" t="s">
        <v>25</v>
      </c>
      <c r="D17" s="14">
        <v>28</v>
      </c>
      <c r="E17" s="14">
        <v>27</v>
      </c>
      <c r="F17" s="14">
        <v>15</v>
      </c>
      <c r="G17" s="15">
        <f>IF(COUNT(B17:F17)=0,"",SUM(B17:F17))</f>
      </c>
      <c r="H17" s="16">
        <f>IF(COUNT(B17:F17)=0,"did not submit — counted as an even split",IF(G17=100,"ok","must total 100"))</f>
      </c>
    </row>
    <row r="18" spans="1:8" x14ac:dyDescent="0.25">
      <c r="A18" s="12" t="s">
        <v>20</v>
      </c>
      <c r="B18" s="14">
        <v>30</v>
      </c>
      <c r="C18" s="14">
        <v>28</v>
      </c>
      <c r="D18" s="13" t="s">
        <v>25</v>
      </c>
      <c r="E18" s="14">
        <v>27</v>
      </c>
      <c r="F18" s="14">
        <v>15</v>
      </c>
      <c r="G18" s="15">
        <f>IF(COUNT(B18:F18)=0,"",SUM(B18:F18))</f>
      </c>
      <c r="H18" s="16">
        <f>IF(COUNT(B18:F18)=0,"did not submit — counted as an even split",IF(G18=100,"ok","must total 100"))</f>
      </c>
    </row>
    <row r="19" spans="1:8" x14ac:dyDescent="0.25">
      <c r="A19" s="12" t="s">
        <v>21</v>
      </c>
      <c r="B19" s="14">
        <v>30</v>
      </c>
      <c r="C19" s="14">
        <v>27</v>
      </c>
      <c r="D19" s="14">
        <v>28</v>
      </c>
      <c r="E19" s="13" t="s">
        <v>25</v>
      </c>
      <c r="F19" s="14">
        <v>15</v>
      </c>
      <c r="G19" s="15">
        <f>IF(COUNT(B19:F19)=0,"",SUM(B19:F19))</f>
      </c>
      <c r="H19" s="16">
        <f>IF(COUNT(B19:F19)=0,"did not submit — counted as an even split",IF(G19=100,"ok","must total 100"))</f>
      </c>
    </row>
    <row r="20" spans="1:8" x14ac:dyDescent="0.25">
      <c r="A20" s="12" t="s">
        <v>22</v>
      </c>
      <c r="B20" s="14">
        <v>35</v>
      </c>
      <c r="C20" s="14">
        <v>30</v>
      </c>
      <c r="D20" s="14">
        <v>20</v>
      </c>
      <c r="E20" s="14">
        <v>15</v>
      </c>
      <c r="F20" s="13" t="s">
        <v>25</v>
      </c>
      <c r="G20" s="15">
        <f>IF(COUNT(B20:F20)=0,"",SUM(B20:F20))</f>
      </c>
      <c r="H20" s="16">
        <f>IF(COUNT(B20:F20)=0,"did not submit — counted as an even split",IF(G20=100,"ok","must total 100"))</f>
      </c>
    </row>
    <row r="21" spans="1:1" x14ac:dyDescent="0.25">
      <c r="A21" s="3" t="s">
        <v>26</v>
      </c>
    </row>
    <row r="22" ht="26" customHeight="1" spans="1:9" x14ac:dyDescent="0.25">
      <c r="A22" s="9" t="s">
        <v>27</v>
      </c>
      <c r="B22" s="9"/>
      <c r="C22" s="9"/>
      <c r="D22" s="9"/>
      <c r="E22" s="9"/>
      <c r="F22" s="9"/>
      <c r="G22" s="9"/>
      <c r="H22" s="9"/>
      <c r="I22" s="9"/>
    </row>
    <row r="24" ht="28" customHeight="1" spans="1:6" x14ac:dyDescent="0.25">
      <c r="A24" s="10" t="s">
        <v>17</v>
      </c>
      <c r="B24" s="11" t="s">
        <v>18</v>
      </c>
      <c r="C24" s="11" t="s">
        <v>19</v>
      </c>
      <c r="D24" s="11" t="s">
        <v>20</v>
      </c>
      <c r="E24" s="11" t="s">
        <v>21</v>
      </c>
      <c r="F24" s="11" t="s">
        <v>22</v>
      </c>
    </row>
    <row r="26" spans="1:6" x14ac:dyDescent="0.25">
      <c r="A26" s="12" t="s">
        <v>18</v>
      </c>
      <c r="B26" s="17" t="s">
        <v>25</v>
      </c>
      <c r="C26" s="18">
        <f>IF(COUNT($B16:$F16)=0,"",C16/$B$6)</f>
      </c>
      <c r="D26" s="18">
        <f>IF(COUNT($B16:$F16)=0,"",D16/$B$6)</f>
      </c>
      <c r="E26" s="18">
        <f>IF(COUNT($B16:$F16)=0,"",E16/$B$6)</f>
      </c>
      <c r="F26" s="18">
        <f>IF(COUNT($B16:$F16)=0,"",F16/$B$6)</f>
      </c>
    </row>
    <row r="27" spans="1:6" x14ac:dyDescent="0.25">
      <c r="A27" s="12" t="s">
        <v>19</v>
      </c>
      <c r="B27" s="18">
        <f>IF(COUNT($B17:$F17)=0,"",B17/$B$6)</f>
      </c>
      <c r="C27" s="17" t="s">
        <v>25</v>
      </c>
      <c r="D27" s="18">
        <f>IF(COUNT($B17:$F17)=0,"",D17/$B$6)</f>
      </c>
      <c r="E27" s="18">
        <f>IF(COUNT($B17:$F17)=0,"",E17/$B$6)</f>
      </c>
      <c r="F27" s="18">
        <f>IF(COUNT($B17:$F17)=0,"",F17/$B$6)</f>
      </c>
    </row>
    <row r="28" spans="1:6" x14ac:dyDescent="0.25">
      <c r="A28" s="12" t="s">
        <v>20</v>
      </c>
      <c r="B28" s="18">
        <f>IF(COUNT($B18:$F18)=0,"",B18/$B$6)</f>
      </c>
      <c r="C28" s="18">
        <f>IF(COUNT($B18:$F18)=0,"",C18/$B$6)</f>
      </c>
      <c r="D28" s="17" t="s">
        <v>25</v>
      </c>
      <c r="E28" s="18">
        <f>IF(COUNT($B18:$F18)=0,"",E18/$B$6)</f>
      </c>
      <c r="F28" s="18">
        <f>IF(COUNT($B18:$F18)=0,"",F18/$B$6)</f>
      </c>
    </row>
    <row r="29" spans="1:6" x14ac:dyDescent="0.25">
      <c r="A29" s="12" t="s">
        <v>21</v>
      </c>
      <c r="B29" s="18">
        <f>IF(COUNT($B19:$F19)=0,"",B19/$B$6)</f>
      </c>
      <c r="C29" s="18">
        <f>IF(COUNT($B19:$F19)=0,"",C19/$B$6)</f>
      </c>
      <c r="D29" s="18">
        <f>IF(COUNT($B19:$F19)=0,"",D19/$B$6)</f>
      </c>
      <c r="E29" s="17" t="s">
        <v>25</v>
      </c>
      <c r="F29" s="18">
        <f>IF(COUNT($B19:$F19)=0,"",F19/$B$6)</f>
      </c>
    </row>
    <row r="30" spans="1:6" x14ac:dyDescent="0.25">
      <c r="A30" s="12" t="s">
        <v>22</v>
      </c>
      <c r="B30" s="18">
        <f>IF(COUNT($B20:$F20)=0,"",B20/$B$6)</f>
      </c>
      <c r="C30" s="18">
        <f>IF(COUNT($B20:$F20)=0,"",C20/$B$6)</f>
      </c>
      <c r="D30" s="18">
        <f>IF(COUNT($B20:$F20)=0,"",D20/$B$6)</f>
      </c>
      <c r="E30" s="18">
        <f>IF(COUNT($B20:$F20)=0,"",E20/$B$6)</f>
      </c>
      <c r="F30" s="17" t="s">
        <v>25</v>
      </c>
    </row>
    <row r="31" spans="1:1" x14ac:dyDescent="0.25">
      <c r="A31" s="3" t="s">
        <v>28</v>
      </c>
    </row>
    <row r="32" ht="26" customHeight="1" spans="1:9" x14ac:dyDescent="0.25">
      <c r="A32" s="9" t="s">
        <v>29</v>
      </c>
      <c r="B32" s="9"/>
      <c r="C32" s="9"/>
      <c r="D32" s="9"/>
      <c r="E32" s="9"/>
      <c r="F32" s="9"/>
      <c r="G32" s="9"/>
      <c r="H32" s="9"/>
      <c r="I32" s="9"/>
    </row>
    <row r="35" ht="28" customHeight="1" spans="1:9" x14ac:dyDescent="0.25">
      <c r="A35" s="10" t="s">
        <v>30</v>
      </c>
      <c r="B35" s="11" t="s">
        <v>31</v>
      </c>
      <c r="C35" s="11" t="s">
        <v>32</v>
      </c>
      <c r="D35" s="11" t="s">
        <v>33</v>
      </c>
      <c r="E35" s="11" t="s">
        <v>34</v>
      </c>
      <c r="F35" s="11" t="s">
        <v>35</v>
      </c>
      <c r="G35" s="11" t="s">
        <v>36</v>
      </c>
      <c r="H35" s="11" t="s">
        <v>37</v>
      </c>
      <c r="I35" s="11" t="s">
        <v>38</v>
      </c>
    </row>
    <row r="36" spans="1:9" x14ac:dyDescent="0.25">
      <c r="A36" s="12" t="s">
        <v>18</v>
      </c>
      <c r="B36" s="19">
        <f>COUNT(B$26:B$30)</f>
      </c>
      <c r="C36" s="19">
        <f>$B$5-1-B36</f>
      </c>
      <c r="D36" s="18">
        <f>IF(B36&gt;=3,MAX(B$26:B$30),"—")</f>
      </c>
      <c r="E36" s="18">
        <f>IF(B36&gt;=3,MIN(B$26:B$30),"—")</f>
      </c>
      <c r="F36" s="20">
        <f>IF(B36&gt;=3,(SUM(B$26:B$30)+C36-D36-E36)/($B$5-1-2),(SUM(B$26:B$30)+C36)/($B$5-1))</f>
      </c>
      <c r="G36" s="20">
        <f>F36-1</f>
      </c>
      <c r="H36" s="21">
        <f>MIN($B$10,MAX($B$9,1+$B$8*SIGN(G36)*MAX(0,ABS(G36)-$B$7)))</f>
      </c>
      <c r="I36" s="6">
        <f>IF(B36=0,"Nobody rated you, so your factor stays at 1.00",IF(H36&lt;0.9,"Your instructor will follow up before any grade is issued.",""))</f>
      </c>
    </row>
    <row r="37" spans="1:9" x14ac:dyDescent="0.25">
      <c r="A37" s="12" t="s">
        <v>19</v>
      </c>
      <c r="B37" s="19">
        <f>COUNT(C$26:C$30)</f>
      </c>
      <c r="C37" s="19">
        <f>$B$5-1-B37</f>
      </c>
      <c r="D37" s="18">
        <f>IF(B37&gt;=3,MAX(C$26:C$30),"—")</f>
      </c>
      <c r="E37" s="18">
        <f>IF(B37&gt;=3,MIN(C$26:C$30),"—")</f>
      </c>
      <c r="F37" s="20">
        <f>IF(B37&gt;=3,(SUM(C$26:C$30)+C37-D37-E37)/($B$5-1-2),(SUM(C$26:C$30)+C37)/($B$5-1))</f>
      </c>
      <c r="G37" s="20">
        <f>F37-1</f>
      </c>
      <c r="H37" s="21">
        <f>MIN($B$10,MAX($B$9,1+$B$8*SIGN(G37)*MAX(0,ABS(G37)-$B$7)))</f>
      </c>
      <c r="I37" s="6">
        <f>IF(B37=0,"Nobody rated you, so your factor stays at 1.00",IF(H37&lt;0.9,"Your instructor will follow up before any grade is issued.",""))</f>
      </c>
    </row>
    <row r="38" spans="1:9" x14ac:dyDescent="0.25">
      <c r="A38" s="12" t="s">
        <v>20</v>
      </c>
      <c r="B38" s="19">
        <f>COUNT(D$26:D$30)</f>
      </c>
      <c r="C38" s="19">
        <f>$B$5-1-B38</f>
      </c>
      <c r="D38" s="18">
        <f>IF(B38&gt;=3,MAX(D$26:D$30),"—")</f>
      </c>
      <c r="E38" s="18">
        <f>IF(B38&gt;=3,MIN(D$26:D$30),"—")</f>
      </c>
      <c r="F38" s="20">
        <f>IF(B38&gt;=3,(SUM(D$26:D$30)+C38-D38-E38)/($B$5-1-2),(SUM(D$26:D$30)+C38)/($B$5-1))</f>
      </c>
      <c r="G38" s="20">
        <f>F38-1</f>
      </c>
      <c r="H38" s="21">
        <f>MIN($B$10,MAX($B$9,1+$B$8*SIGN(G38)*MAX(0,ABS(G38)-$B$7)))</f>
      </c>
      <c r="I38" s="6">
        <f>IF(B38=0,"Nobody rated you, so your factor stays at 1.00",IF(H38&lt;0.9,"Your instructor will follow up before any grade is issued.",""))</f>
      </c>
    </row>
    <row r="39" spans="1:9" x14ac:dyDescent="0.25">
      <c r="A39" s="12" t="s">
        <v>21</v>
      </c>
      <c r="B39" s="19">
        <f>COUNT(E$26:E$30)</f>
      </c>
      <c r="C39" s="19">
        <f>$B$5-1-B39</f>
      </c>
      <c r="D39" s="18">
        <f>IF(B39&gt;=3,MAX(E$26:E$30),"—")</f>
      </c>
      <c r="E39" s="18">
        <f>IF(B39&gt;=3,MIN(E$26:E$30),"—")</f>
      </c>
      <c r="F39" s="20">
        <f>IF(B39&gt;=3,(SUM(E$26:E$30)+C39-D39-E39)/($B$5-1-2),(SUM(E$26:E$30)+C39)/($B$5-1))</f>
      </c>
      <c r="G39" s="20">
        <f>F39-1</f>
      </c>
      <c r="H39" s="21">
        <f>MIN($B$10,MAX($B$9,1+$B$8*SIGN(G39)*MAX(0,ABS(G39)-$B$7)))</f>
      </c>
      <c r="I39" s="6">
        <f>IF(B39=0,"Nobody rated you, so your factor stays at 1.00",IF(H39&lt;0.9,"Your instructor will follow up before any grade is issued.",""))</f>
      </c>
    </row>
    <row r="40" spans="1:9" x14ac:dyDescent="0.25">
      <c r="A40" s="12" t="s">
        <v>22</v>
      </c>
      <c r="B40" s="19">
        <f>COUNT(F$26:F$30)</f>
      </c>
      <c r="C40" s="19">
        <f>$B$5-1-B40</f>
      </c>
      <c r="D40" s="18">
        <f>IF(B40&gt;=3,MAX(F$26:F$30),"—")</f>
      </c>
      <c r="E40" s="18">
        <f>IF(B40&gt;=3,MIN(F$26:F$30),"—")</f>
      </c>
      <c r="F40" s="20">
        <f>IF(B40&gt;=3,(SUM(F$26:F$30)+C40-D40-E40)/($B$5-1-2),(SUM(F$26:F$30)+C40)/($B$5-1))</f>
      </c>
      <c r="G40" s="20">
        <f>F40-1</f>
      </c>
      <c r="H40" s="21">
        <f>MIN($B$10,MAX($B$9,1+$B$8*SIGN(G40)*MAX(0,ABS(G40)-$B$7)))</f>
      </c>
      <c r="I40" s="6">
        <f>IF(B40=0,"Nobody rated you, so your factor stays at 1.00",IF(H40&lt;0.9,"Your instructor will follow up before any grade is issued.",""))</f>
      </c>
    </row>
    <row r="42" spans="1:9" x14ac:dyDescent="0.25">
      <c r="A42" s="12" t="s">
        <v>39</v>
      </c>
      <c r="H42" s="22">
        <f>AVERAGE(H36:H40)</f>
      </c>
      <c r="I42" s="6" t="s">
        <v>40</v>
      </c>
    </row>
    <row r="43" spans="1:8" x14ac:dyDescent="0.25">
      <c r="A43" s="12" t="s">
        <v>41</v>
      </c>
      <c r="H43" s="22">
        <f>MAX(H36:H40)-MIN(H36:H40)</f>
      </c>
    </row>
    <row r="45" spans="1:9" x14ac:dyDescent="0.25">
      <c r="A45" s="23" t="s">
        <v>42</v>
      </c>
      <c r="B45" s="23"/>
      <c r="C45" s="23"/>
      <c r="D45" s="23"/>
      <c r="E45" s="23"/>
      <c r="F45" s="23"/>
      <c r="G45" s="23"/>
      <c r="H45" s="23"/>
      <c r="I45" s="23"/>
    </row>
  </sheetData>
  <mergeCells count="12">
    <mergeCell ref="A1:I1"/>
    <mergeCell ref="A2:I2"/>
    <mergeCell ref="C5:I5"/>
    <mergeCell ref="C6:I6"/>
    <mergeCell ref="C7:I7"/>
    <mergeCell ref="C8:I8"/>
    <mergeCell ref="C9:I9"/>
    <mergeCell ref="C10:I10"/>
    <mergeCell ref="A13:I13"/>
    <mergeCell ref="A22:I22"/>
    <mergeCell ref="A32:I32"/>
    <mergeCell ref="A45:I4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howGridLines="0"/>
  </sheetViews>
  <sheetFormatPr defaultRowHeight="15" outlineLevelRow="0" outlineLevelCol="0" x14ac:dyDescent="55"/>
  <cols>
    <col min="1" max="1" width="30" customWidth="1"/>
    <col min="2" max="2" width="96" customWidth="1"/>
  </cols>
  <sheetData>
    <row r="1" spans="1:2" x14ac:dyDescent="0.25">
      <c r="A1" s="1" t="s">
        <v>43</v>
      </c>
      <c r="B1" s="1"/>
    </row>
    <row r="3" ht="45" customHeight="1" spans="1:2" x14ac:dyDescent="0.25">
      <c r="A3" s="24" t="s">
        <v>44</v>
      </c>
      <c r="B3" s="25" t="s">
        <v>45</v>
      </c>
    </row>
    <row r="5" ht="75" customHeight="1" spans="1:2" x14ac:dyDescent="0.25">
      <c r="A5" s="24" t="s">
        <v>46</v>
      </c>
      <c r="B5" s="25" t="s">
        <v>47</v>
      </c>
    </row>
    <row r="7" ht="60" customHeight="1" spans="1:2" x14ac:dyDescent="0.25">
      <c r="A7" s="24" t="s">
        <v>48</v>
      </c>
      <c r="B7" s="25" t="s">
        <v>49</v>
      </c>
    </row>
    <row r="9" ht="45" customHeight="1" spans="1:2" x14ac:dyDescent="0.25">
      <c r="A9" s="24" t="s">
        <v>50</v>
      </c>
      <c r="B9" s="25" t="s">
        <v>51</v>
      </c>
    </row>
    <row r="11" ht="75" customHeight="1" spans="1:2" x14ac:dyDescent="0.25">
      <c r="A11" s="24" t="s">
        <v>52</v>
      </c>
      <c r="B11" s="25" t="s">
        <v>53</v>
      </c>
    </row>
    <row r="13" ht="60" customHeight="1" spans="1:2" x14ac:dyDescent="0.25">
      <c r="A13" s="24" t="s">
        <v>54</v>
      </c>
      <c r="B13" s="25" t="s">
        <v>55</v>
      </c>
    </row>
    <row r="15" ht="45" customHeight="1" spans="1:2" x14ac:dyDescent="0.25">
      <c r="A15" s="24" t="s">
        <v>56</v>
      </c>
      <c r="B15" s="25" t="s">
        <v>57</v>
      </c>
    </row>
    <row r="17" ht="45" customHeight="1" spans="1:2" x14ac:dyDescent="0.25">
      <c r="A17" s="24" t="s">
        <v>58</v>
      </c>
      <c r="B17" s="25" t="s">
        <v>59</v>
      </c>
    </row>
  </sheetData>
  <mergeCells count="1">
    <mergeCell ref="A1:B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Team factor</vt:lpstr>
      <vt:lpstr>How it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TeamForge</dc:creator>
  <dc:title/>
  <dc:subject/>
  <dc:description/>
  <cp:keywords/>
  <cp:category/>
  <cp:lastModifiedBy>Unknown</cp:lastModifiedBy>
  <dcterms:created xsi:type="dcterms:W3CDTF">1970-01-01T00:00:00Z</dcterms:created>
  <dcterms:modified xsi:type="dcterms:W3CDTF">1970-01-01T00:00:00Z</dcterms:modified>
</cp:coreProperties>
</file>